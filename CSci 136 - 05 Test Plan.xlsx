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esktop\codes\softeng\rotten-potato-TCM\"/>
    </mc:Choice>
  </mc:AlternateContent>
  <xr:revisionPtr revIDLastSave="0" documentId="13_ncr:1_{05A3495C-37DA-4D69-814A-432E3F1F0C21}" xr6:coauthVersionLast="47" xr6:coauthVersionMax="47" xr10:uidLastSave="{00000000-0000-0000-0000-000000000000}"/>
  <bookViews>
    <workbookView xWindow="2232" yWindow="2232" windowWidth="17280" windowHeight="9420" xr2:uid="{00000000-000D-0000-FFFF-FFFF00000000}"/>
  </bookViews>
  <sheets>
    <sheet name="Test Plan" sheetId="1" r:id="rId1"/>
    <sheet name="Re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UFG1xrXJW21YXTVeXFavy/2nJ9VbtbsO3agUYxtD9o="/>
    </ext>
  </extLst>
</workbook>
</file>

<file path=xl/calcChain.xml><?xml version="1.0" encoding="utf-8"?>
<calcChain xmlns="http://schemas.openxmlformats.org/spreadsheetml/2006/main">
  <c r="B3" i="2" l="1" a="1"/>
  <c r="B3" i="2" s="1"/>
  <c r="B2" i="2" a="1"/>
  <c r="B2" i="2" s="1"/>
  <c r="B4" i="2" s="1"/>
  <c r="B1" i="2" a="1"/>
  <c r="B1" i="2" s="1"/>
  <c r="B5" i="2" l="1"/>
</calcChain>
</file>

<file path=xl/sharedStrings.xml><?xml version="1.0" encoding="utf-8"?>
<sst xmlns="http://schemas.openxmlformats.org/spreadsheetml/2006/main" count="206" uniqueCount="90">
  <si>
    <t>Test Cases</t>
  </si>
  <si>
    <t>Test Schedule</t>
  </si>
  <si>
    <t>Assigned Tester</t>
  </si>
  <si>
    <t>Date of Execution</t>
  </si>
  <si>
    <t>Status</t>
  </si>
  <si>
    <t>Bug IDs</t>
  </si>
  <si>
    <t>Authetication</t>
  </si>
  <si>
    <t xml:space="preserve">  AUTH-0001: Authentication testing - Account Sign Up and Registration</t>
  </si>
  <si>
    <t>slpyMryll</t>
  </si>
  <si>
    <t>PASSED</t>
  </si>
  <si>
    <t xml:space="preserve">  AUTH-0002: Authentication testing - Account Sign Up and Registration</t>
  </si>
  <si>
    <t xml:space="preserve">  AUTH-0003: Authentication testing - Form Fields &amp; Validation</t>
  </si>
  <si>
    <t>FAILED</t>
  </si>
  <si>
    <t>BUG-0001</t>
  </si>
  <si>
    <t xml:space="preserve">  AUTH-0004: Authentication testing - Form Fields &amp; Validation</t>
  </si>
  <si>
    <t xml:space="preserve">  AUTH-0005: Authentication testing - Email Verification / Activation</t>
  </si>
  <si>
    <t xml:space="preserve">  AUTH-0006: Authentication testing -Email Verification / Activation</t>
  </si>
  <si>
    <t>Commission Request Testing</t>
  </si>
  <si>
    <t xml:space="preserve">  COMM-0001: Commission Request Testing - Commissioner Opens Post Request Modal</t>
  </si>
  <si>
    <t xml:space="preserve">  COMM-0002: Commission Request Testing - Commissioner Posts Open Request</t>
  </si>
  <si>
    <t>BUG-005</t>
  </si>
  <si>
    <t xml:space="preserve">  COMM-0003: Commission Request Testing -Artist Test Account Setup</t>
  </si>
  <si>
    <t>BUG-006</t>
  </si>
  <si>
    <t xml:space="preserve">  COMM-0004: Commission Request Testing - Artist Sends Commission Offer</t>
  </si>
  <si>
    <t xml:space="preserve">  COMM-0005: Commission Request Testing - Commissioner Reviews Incoming Offers</t>
  </si>
  <si>
    <t xml:space="preserve">  COMM-0006: Commission Request Testing - Commissioner Hires Artist</t>
  </si>
  <si>
    <t>CommunicationTesting</t>
  </si>
  <si>
    <t xml:space="preserve">  MSG-0001: Communication Testing - Inbox Empty State Rendering</t>
  </si>
  <si>
    <t xml:space="preserve">  MSG-0002: Communication Testing - Inbox Search Field Availability</t>
  </si>
  <si>
    <t xml:space="preserve">  MSG-0003: Communication Testing -Inbox Conversation Search Handling</t>
  </si>
  <si>
    <t xml:space="preserve">  MSG-0004: Communication Testing -Conversation Initialization Prompt</t>
  </si>
  <si>
    <t xml:space="preserve">  MSG-0005: Communication Testing - Message Sending Procedure</t>
  </si>
  <si>
    <t xml:space="preserve">  MSG-0006: Communication Testing - Top Artist Sidebar Messaging Option</t>
  </si>
  <si>
    <t xml:space="preserve">  MSG-0007: Communication Testing - Inbox Incoming Message Rendering</t>
  </si>
  <si>
    <t>Discovery and Navigation Testing</t>
  </si>
  <si>
    <t xml:space="preserve">  SRCH-001: Discovery and Navigation Testing - Global Text Search</t>
  </si>
  <si>
    <t xml:space="preserve">  SRCH-002: Discovery and Navigation Testing - Dynamic Filter Tags</t>
  </si>
  <si>
    <t xml:space="preserve">  SRCH-003: Discovery and Navigation Testing - Interactive Result Cards</t>
  </si>
  <si>
    <t>BUG-0002</t>
  </si>
  <si>
    <t>BUG-0003</t>
  </si>
  <si>
    <t>Financials Testing</t>
  </si>
  <si>
    <t xml:space="preserve">  PAY-0001: Financials Testing - Marketplace Add to Cart</t>
  </si>
  <si>
    <t>eking723</t>
  </si>
  <si>
    <t xml:space="preserve">  PAY-0002: Financials Testing - Shopping Cart Page Display</t>
  </si>
  <si>
    <t xml:space="preserve">  PAY-0003: Financials Testing - Selective Checkout Item Selection</t>
  </si>
  <si>
    <t xml:space="preserve">  PAY-0004: Financials Testing - Cart Quantity Controls</t>
  </si>
  <si>
    <t xml:space="preserve">  PAY-0005: Financials Testing - Cart Item Removal and Empty State</t>
  </si>
  <si>
    <t xml:space="preserve">  PAY-0006: Financials Testing - Checkout Disabled With No Selection</t>
  </si>
  <si>
    <t xml:space="preserve">  PAY-0007: Financials Testing - PayMongo Checkout Session Initialization</t>
  </si>
  <si>
    <t xml:space="preserve">  PAY-0008: Financials Testing - PayMongo Paid Webhook Order Commit</t>
  </si>
  <si>
    <t xml:space="preserve">  PAY-0009: Financials Testing - Commission Deposit Checkout Initialization</t>
  </si>
  <si>
    <t xml:space="preserve">  PAY-0010: Financials Testing - Commission Deposit Paid Commit</t>
  </si>
  <si>
    <t>NOT RUN</t>
  </si>
  <si>
    <t>BUG-007</t>
  </si>
  <si>
    <t xml:space="preserve">  PAY-0011: Financials Testing - Artist Marks Commission Ready for Final Payment</t>
  </si>
  <si>
    <t xml:space="preserve">  PAY-0012: Financials Testing - Commission Final Payment Commit</t>
  </si>
  <si>
    <t>Marketplace Testing</t>
  </si>
  <si>
    <t xml:space="preserve">  MKT-0001: Marketplace Testing -  Art Catalog Browsing &amp; Search</t>
  </si>
  <si>
    <t xml:space="preserve">  MKT-0002: Marketplace testing - Price/Buy Controls</t>
  </si>
  <si>
    <t xml:space="preserve">  MKT-0003: Marketplace testing - Ask Artist Availability</t>
  </si>
  <si>
    <t>Profile Management Testing</t>
  </si>
  <si>
    <t xml:space="preserve">  PRF-0001: Profile Management testing - Profile Display</t>
  </si>
  <si>
    <t xml:space="preserve">  PRF-0002: Profile Management testing -Profile Display</t>
  </si>
  <si>
    <t>BUG-004</t>
  </si>
  <si>
    <t xml:space="preserve">  PRF-0003: Profile Management testing -Edit Profile</t>
  </si>
  <si>
    <t xml:space="preserve">  PRF-0004: Profile Management testing - Edit Profile</t>
  </si>
  <si>
    <t xml:space="preserve">  PRF-0005: Profile Management testing - Account Type Handling</t>
  </si>
  <si>
    <t xml:space="preserve">  PRF-0006: Profile Management testing - Recent Activity Logging</t>
  </si>
  <si>
    <t xml:space="preserve">  PRF-0007: Profile Management testing -Recent Activity Logging</t>
  </si>
  <si>
    <t xml:space="preserve">  PRF-0008: Profile Management testing -  Become a Seller</t>
  </si>
  <si>
    <t xml:space="preserve">  PRF-0009: Profile Management testing - Become a Seller</t>
  </si>
  <si>
    <t>Reputation Testing</t>
  </si>
  <si>
    <t xml:space="preserve">  REV-0001: Reputation Testing - Rating Score &amp; Visibility</t>
  </si>
  <si>
    <t xml:space="preserve">  REV-0002: Reputation Testing - Rating Score &amp; Visibility</t>
  </si>
  <si>
    <t xml:space="preserve">  REV-0003: Reputation Testing - Rating Score &amp; Visibility</t>
  </si>
  <si>
    <t xml:space="preserve">  REV-0004: Reputation Testing - Rating Metadata Stability</t>
  </si>
  <si>
    <t xml:space="preserve">  REV-0005: Reputation Testing -Rating Metadata Stability</t>
  </si>
  <si>
    <t>Social and Community Testing</t>
  </si>
  <si>
    <t xml:space="preserve">  FEED-001: Social and Community Testing - Artwork Publication</t>
  </si>
  <si>
    <t xml:space="preserve">  FEED-002: Social and Community Testing - Artwork Publication</t>
  </si>
  <si>
    <t xml:space="preserve">  FEED-003: Social and Community Testing - Reaction Handlers</t>
  </si>
  <si>
    <t xml:space="preserve">  FEED-004: Social and Community Testing - Social Interaction Hooks</t>
  </si>
  <si>
    <t xml:space="preserve">  FEED-005: Social and Community Testing - Social Interaction Hooks</t>
  </si>
  <si>
    <t xml:space="preserve">  FEED-006: Social and Community Testing - Social Interaction Hooks</t>
  </si>
  <si>
    <t>Total Test Cases</t>
  </si>
  <si>
    <t>Passed Test Cases</t>
  </si>
  <si>
    <t>Failed Test Cases</t>
  </si>
  <si>
    <t>Execution Completion</t>
  </si>
  <si>
    <t>Execution Completion (%)</t>
  </si>
  <si>
    <t xml:space="preserve">  MSG-0008: Communication Testing - Inbox Incoming Message Rendering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</si>
</sst>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0" fontId="3" fillId="0" borderId="1" xfId="0" applyNumberFormat="1" applyFont="1" applyBorder="1"/>
    <xf numFmtId="0" fontId="1" fillId="2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13"/>
  <sheetViews>
    <sheetView tabSelected="1" topLeftCell="A17" workbookViewId="0">
      <selection activeCell="A25" sqref="A25:F25"/>
    </sheetView>
  </sheetViews>
  <sheetFormatPr defaultColWidth="12.6640625" defaultRowHeight="15" customHeight="1" x14ac:dyDescent="0.25"/>
  <cols>
    <col min="1" max="1" width="67.6640625" customWidth="1"/>
    <col min="2" max="2" width="12.109375" customWidth="1"/>
    <col min="3" max="3" width="13.33203125" customWidth="1"/>
    <col min="4" max="4" width="15" customWidth="1"/>
    <col min="5" max="5" width="12.88671875" customWidth="1"/>
    <col min="6" max="6" width="19.33203125" customWidth="1"/>
  </cols>
  <sheetData>
    <row r="1" spans="1: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9" t="s">
        <v>6</v>
      </c>
      <c r="B2" s="10"/>
      <c r="C2" s="10"/>
      <c r="D2" s="10"/>
      <c r="E2" s="10"/>
      <c r="F2" s="11"/>
    </row>
    <row r="3" spans="1:6" ht="15.75" customHeight="1" x14ac:dyDescent="0.25">
      <c r="A3" s="4" t="s">
        <v>7</v>
      </c>
      <c r="B3" s="5">
        <v>46120</v>
      </c>
      <c r="C3" s="4" t="s">
        <v>8</v>
      </c>
      <c r="D3" s="5">
        <v>46177</v>
      </c>
      <c r="E3" s="4" t="s">
        <v>9</v>
      </c>
      <c r="F3" s="4"/>
    </row>
    <row r="4" spans="1:6" ht="15.75" customHeight="1" x14ac:dyDescent="0.25">
      <c r="A4" s="4" t="s">
        <v>10</v>
      </c>
      <c r="B4" s="5">
        <v>46120</v>
      </c>
      <c r="C4" s="4" t="s">
        <v>8</v>
      </c>
      <c r="D4" s="5">
        <v>46177</v>
      </c>
      <c r="E4" s="4" t="s">
        <v>9</v>
      </c>
      <c r="F4" s="4"/>
    </row>
    <row r="5" spans="1:6" ht="15.75" customHeight="1" x14ac:dyDescent="0.25">
      <c r="A5" s="4" t="s">
        <v>11</v>
      </c>
      <c r="B5" s="5">
        <v>46120</v>
      </c>
      <c r="C5" s="4" t="s">
        <v>8</v>
      </c>
      <c r="D5" s="5">
        <v>46177</v>
      </c>
      <c r="E5" s="4" t="s">
        <v>12</v>
      </c>
      <c r="F5" s="4" t="s">
        <v>13</v>
      </c>
    </row>
    <row r="6" spans="1:6" ht="15.75" customHeight="1" x14ac:dyDescent="0.25">
      <c r="A6" s="4" t="s">
        <v>14</v>
      </c>
      <c r="B6" s="5">
        <v>46120</v>
      </c>
      <c r="C6" s="4" t="s">
        <v>8</v>
      </c>
      <c r="D6" s="5">
        <v>46177</v>
      </c>
      <c r="E6" s="4" t="s">
        <v>9</v>
      </c>
      <c r="F6" s="4"/>
    </row>
    <row r="7" spans="1:6" ht="15.75" customHeight="1" x14ac:dyDescent="0.25">
      <c r="A7" s="4" t="s">
        <v>15</v>
      </c>
      <c r="B7" s="5">
        <v>46120</v>
      </c>
      <c r="C7" s="4" t="s">
        <v>8</v>
      </c>
      <c r="D7" s="5">
        <v>46177</v>
      </c>
      <c r="E7" s="4" t="s">
        <v>9</v>
      </c>
      <c r="F7" s="4"/>
    </row>
    <row r="8" spans="1:6" ht="15.75" customHeight="1" x14ac:dyDescent="0.25">
      <c r="A8" s="4" t="s">
        <v>16</v>
      </c>
      <c r="B8" s="5">
        <v>46120</v>
      </c>
      <c r="C8" s="4" t="s">
        <v>8</v>
      </c>
      <c r="D8" s="5">
        <v>46177</v>
      </c>
      <c r="E8" s="4" t="s">
        <v>9</v>
      </c>
      <c r="F8" s="4"/>
    </row>
    <row r="9" spans="1:6" ht="15.75" customHeight="1" x14ac:dyDescent="0.25">
      <c r="A9" s="9" t="s">
        <v>17</v>
      </c>
      <c r="B9" s="10"/>
      <c r="C9" s="10"/>
      <c r="D9" s="10"/>
      <c r="E9" s="10"/>
      <c r="F9" s="11"/>
    </row>
    <row r="10" spans="1:6" ht="15.75" customHeight="1" x14ac:dyDescent="0.25">
      <c r="A10" s="4" t="s">
        <v>18</v>
      </c>
      <c r="B10" s="5">
        <v>46120</v>
      </c>
      <c r="C10" s="4" t="s">
        <v>8</v>
      </c>
      <c r="D10" s="5">
        <v>46179</v>
      </c>
      <c r="E10" s="4" t="s">
        <v>9</v>
      </c>
      <c r="F10" s="4"/>
    </row>
    <row r="11" spans="1:6" ht="15.75" customHeight="1" x14ac:dyDescent="0.25">
      <c r="A11" s="4" t="s">
        <v>19</v>
      </c>
      <c r="B11" s="5">
        <v>46120</v>
      </c>
      <c r="C11" s="4" t="s">
        <v>8</v>
      </c>
      <c r="D11" s="5">
        <v>46179</v>
      </c>
      <c r="E11" s="4" t="s">
        <v>12</v>
      </c>
      <c r="F11" s="4" t="s">
        <v>20</v>
      </c>
    </row>
    <row r="12" spans="1:6" ht="15.75" customHeight="1" x14ac:dyDescent="0.25">
      <c r="A12" s="4" t="s">
        <v>21</v>
      </c>
      <c r="B12" s="5">
        <v>46120</v>
      </c>
      <c r="C12" s="4" t="s">
        <v>8</v>
      </c>
      <c r="D12" s="5">
        <v>46179</v>
      </c>
      <c r="E12" s="4" t="s">
        <v>12</v>
      </c>
      <c r="F12" s="4" t="s">
        <v>22</v>
      </c>
    </row>
    <row r="13" spans="1:6" ht="15.75" customHeight="1" x14ac:dyDescent="0.25">
      <c r="A13" s="4" t="s">
        <v>23</v>
      </c>
      <c r="B13" s="5">
        <v>46120</v>
      </c>
      <c r="C13" s="4" t="s">
        <v>8</v>
      </c>
      <c r="D13" s="5">
        <v>46179</v>
      </c>
      <c r="E13" s="4" t="s">
        <v>9</v>
      </c>
      <c r="F13" s="4"/>
    </row>
    <row r="14" spans="1:6" ht="15.75" customHeight="1" x14ac:dyDescent="0.25">
      <c r="A14" s="4" t="s">
        <v>24</v>
      </c>
      <c r="B14" s="5">
        <v>46120</v>
      </c>
      <c r="C14" s="4" t="s">
        <v>8</v>
      </c>
      <c r="D14" s="5">
        <v>46179</v>
      </c>
      <c r="E14" s="4" t="s">
        <v>9</v>
      </c>
      <c r="F14" s="4"/>
    </row>
    <row r="15" spans="1:6" ht="15.75" customHeight="1" x14ac:dyDescent="0.25">
      <c r="A15" s="4" t="s">
        <v>25</v>
      </c>
      <c r="B15" s="5">
        <v>46120</v>
      </c>
      <c r="C15" s="4" t="s">
        <v>8</v>
      </c>
      <c r="D15" s="5">
        <v>46179</v>
      </c>
      <c r="E15" s="4" t="s">
        <v>9</v>
      </c>
      <c r="F15" s="4"/>
    </row>
    <row r="16" spans="1:6" ht="15.75" customHeight="1" x14ac:dyDescent="0.25">
      <c r="A16" s="9" t="s">
        <v>26</v>
      </c>
      <c r="B16" s="10"/>
      <c r="C16" s="10"/>
      <c r="D16" s="10"/>
      <c r="E16" s="10"/>
      <c r="F16" s="11"/>
    </row>
    <row r="17" spans="1:6" ht="15.75" customHeight="1" x14ac:dyDescent="0.25">
      <c r="A17" s="4" t="s">
        <v>27</v>
      </c>
      <c r="B17" s="5">
        <v>46120</v>
      </c>
      <c r="C17" s="4" t="s">
        <v>8</v>
      </c>
      <c r="D17" s="5">
        <v>46179</v>
      </c>
      <c r="E17" s="4" t="s">
        <v>9</v>
      </c>
      <c r="F17" s="4"/>
    </row>
    <row r="18" spans="1:6" ht="15.75" customHeight="1" x14ac:dyDescent="0.25">
      <c r="A18" s="4" t="s">
        <v>28</v>
      </c>
      <c r="B18" s="5">
        <v>46120</v>
      </c>
      <c r="C18" s="4" t="s">
        <v>8</v>
      </c>
      <c r="D18" s="5">
        <v>46179</v>
      </c>
      <c r="E18" s="4" t="s">
        <v>9</v>
      </c>
      <c r="F18" s="4"/>
    </row>
    <row r="19" spans="1:6" ht="15.75" customHeight="1" x14ac:dyDescent="0.25">
      <c r="A19" s="4" t="s">
        <v>29</v>
      </c>
      <c r="B19" s="5">
        <v>46120</v>
      </c>
      <c r="C19" s="4" t="s">
        <v>8</v>
      </c>
      <c r="D19" s="5">
        <v>46179</v>
      </c>
      <c r="E19" s="4" t="s">
        <v>9</v>
      </c>
      <c r="F19" s="4"/>
    </row>
    <row r="20" spans="1:6" ht="15.75" customHeight="1" x14ac:dyDescent="0.25">
      <c r="A20" s="4" t="s">
        <v>30</v>
      </c>
      <c r="B20" s="5">
        <v>46120</v>
      </c>
      <c r="C20" s="4" t="s">
        <v>8</v>
      </c>
      <c r="D20" s="5">
        <v>46179</v>
      </c>
      <c r="E20" s="4" t="s">
        <v>9</v>
      </c>
      <c r="F20" s="4"/>
    </row>
    <row r="21" spans="1:6" ht="15.75" customHeight="1" x14ac:dyDescent="0.25">
      <c r="A21" s="4" t="s">
        <v>31</v>
      </c>
      <c r="B21" s="5">
        <v>46120</v>
      </c>
      <c r="C21" s="4" t="s">
        <v>8</v>
      </c>
      <c r="D21" s="5">
        <v>46179</v>
      </c>
      <c r="E21" s="4" t="s">
        <v>9</v>
      </c>
      <c r="F21" s="4"/>
    </row>
    <row r="22" spans="1:6" ht="15.75" customHeight="1" x14ac:dyDescent="0.25">
      <c r="A22" s="4" t="s">
        <v>32</v>
      </c>
      <c r="B22" s="5">
        <v>46120</v>
      </c>
      <c r="C22" s="4" t="s">
        <v>8</v>
      </c>
      <c r="D22" s="5">
        <v>46179</v>
      </c>
      <c r="E22" s="4" t="s">
        <v>9</v>
      </c>
      <c r="F22" s="4"/>
    </row>
    <row r="23" spans="1:6" ht="15.75" customHeight="1" x14ac:dyDescent="0.25">
      <c r="A23" s="4" t="s">
        <v>33</v>
      </c>
      <c r="B23" s="5">
        <v>46120</v>
      </c>
      <c r="C23" s="4" t="s">
        <v>8</v>
      </c>
      <c r="D23" s="5">
        <v>46179</v>
      </c>
      <c r="E23" s="4" t="s">
        <v>9</v>
      </c>
      <c r="F23" s="4"/>
    </row>
    <row r="24" spans="1:6" ht="15.75" customHeight="1" x14ac:dyDescent="0.25">
      <c r="A24" s="4" t="s">
        <v>89</v>
      </c>
      <c r="B24" s="5">
        <v>46120</v>
      </c>
      <c r="C24" s="4" t="s">
        <v>8</v>
      </c>
      <c r="D24" s="5">
        <v>46179</v>
      </c>
      <c r="E24" s="4" t="s">
        <v>9</v>
      </c>
      <c r="F24" s="4"/>
    </row>
    <row r="25" spans="1:6" ht="15.75" customHeight="1" x14ac:dyDescent="0.25">
      <c r="A25" s="9" t="s">
        <v>34</v>
      </c>
      <c r="B25" s="10"/>
      <c r="C25" s="10"/>
      <c r="D25" s="10"/>
      <c r="E25" s="10"/>
      <c r="F25" s="11"/>
    </row>
    <row r="26" spans="1:6" ht="15.75" customHeight="1" x14ac:dyDescent="0.25">
      <c r="A26" s="4" t="s">
        <v>35</v>
      </c>
      <c r="B26" s="5">
        <v>46120</v>
      </c>
      <c r="C26" s="4" t="s">
        <v>8</v>
      </c>
      <c r="D26" s="5">
        <v>46177</v>
      </c>
      <c r="E26" s="4" t="s">
        <v>9</v>
      </c>
      <c r="F26" s="4"/>
    </row>
    <row r="27" spans="1:6" ht="15.75" customHeight="1" x14ac:dyDescent="0.25">
      <c r="A27" s="4" t="s">
        <v>36</v>
      </c>
      <c r="B27" s="5">
        <v>46120</v>
      </c>
      <c r="C27" s="4" t="s">
        <v>8</v>
      </c>
      <c r="D27" s="5">
        <v>46177</v>
      </c>
      <c r="E27" s="4" t="s">
        <v>9</v>
      </c>
      <c r="F27" s="4"/>
    </row>
    <row r="28" spans="1:6" ht="15.75" customHeight="1" x14ac:dyDescent="0.25">
      <c r="A28" s="4" t="s">
        <v>37</v>
      </c>
      <c r="B28" s="5">
        <v>46120</v>
      </c>
      <c r="C28" s="4" t="s">
        <v>8</v>
      </c>
      <c r="D28" s="5">
        <v>46177</v>
      </c>
      <c r="E28" s="4" t="s">
        <v>12</v>
      </c>
      <c r="F28" s="4" t="s">
        <v>38</v>
      </c>
    </row>
    <row r="29" spans="1:6" ht="15.75" customHeight="1" x14ac:dyDescent="0.25">
      <c r="A29" s="4" t="s">
        <v>37</v>
      </c>
      <c r="B29" s="5">
        <v>46120</v>
      </c>
      <c r="C29" s="4" t="s">
        <v>8</v>
      </c>
      <c r="D29" s="5">
        <v>46177</v>
      </c>
      <c r="E29" s="4" t="s">
        <v>12</v>
      </c>
      <c r="F29" s="4" t="s">
        <v>39</v>
      </c>
    </row>
    <row r="30" spans="1:6" ht="15.75" customHeight="1" x14ac:dyDescent="0.25">
      <c r="A30" s="3" t="s">
        <v>40</v>
      </c>
      <c r="B30" s="6"/>
      <c r="C30" s="6"/>
      <c r="D30" s="6"/>
      <c r="E30" s="6"/>
      <c r="F30" s="7"/>
    </row>
    <row r="31" spans="1:6" ht="15.75" customHeight="1" x14ac:dyDescent="0.25">
      <c r="A31" s="4" t="s">
        <v>41</v>
      </c>
      <c r="B31" s="5">
        <v>46120</v>
      </c>
      <c r="C31" s="4" t="s">
        <v>42</v>
      </c>
      <c r="D31" s="5">
        <v>46183</v>
      </c>
      <c r="E31" s="4" t="s">
        <v>9</v>
      </c>
      <c r="F31" s="4"/>
    </row>
    <row r="32" spans="1:6" ht="15.75" customHeight="1" x14ac:dyDescent="0.25">
      <c r="A32" s="4" t="s">
        <v>43</v>
      </c>
      <c r="B32" s="5">
        <v>46120</v>
      </c>
      <c r="C32" s="4" t="s">
        <v>42</v>
      </c>
      <c r="D32" s="5">
        <v>46183</v>
      </c>
      <c r="E32" s="4" t="s">
        <v>9</v>
      </c>
      <c r="F32" s="4"/>
    </row>
    <row r="33" spans="1:6" ht="15.75" customHeight="1" x14ac:dyDescent="0.25">
      <c r="A33" s="4" t="s">
        <v>44</v>
      </c>
      <c r="B33" s="5">
        <v>46120</v>
      </c>
      <c r="C33" s="4" t="s">
        <v>42</v>
      </c>
      <c r="D33" s="5">
        <v>46183</v>
      </c>
      <c r="E33" s="4" t="s">
        <v>9</v>
      </c>
      <c r="F33" s="4"/>
    </row>
    <row r="34" spans="1:6" ht="15.75" customHeight="1" x14ac:dyDescent="0.25">
      <c r="A34" s="4" t="s">
        <v>45</v>
      </c>
      <c r="B34" s="5">
        <v>46120</v>
      </c>
      <c r="C34" s="4" t="s">
        <v>42</v>
      </c>
      <c r="D34" s="5">
        <v>46183</v>
      </c>
      <c r="E34" s="4" t="s">
        <v>9</v>
      </c>
      <c r="F34" s="4"/>
    </row>
    <row r="35" spans="1:6" ht="15.75" customHeight="1" x14ac:dyDescent="0.25">
      <c r="A35" s="4" t="s">
        <v>46</v>
      </c>
      <c r="B35" s="5">
        <v>46120</v>
      </c>
      <c r="C35" s="4" t="s">
        <v>42</v>
      </c>
      <c r="D35" s="5">
        <v>46183</v>
      </c>
      <c r="E35" s="4" t="s">
        <v>9</v>
      </c>
      <c r="F35" s="4"/>
    </row>
    <row r="36" spans="1:6" ht="15.75" customHeight="1" x14ac:dyDescent="0.25">
      <c r="A36" s="4" t="s">
        <v>47</v>
      </c>
      <c r="B36" s="5">
        <v>46120</v>
      </c>
      <c r="C36" s="4" t="s">
        <v>42</v>
      </c>
      <c r="D36" s="5">
        <v>46183</v>
      </c>
      <c r="E36" s="4" t="s">
        <v>9</v>
      </c>
      <c r="F36" s="4"/>
    </row>
    <row r="37" spans="1:6" ht="15.75" customHeight="1" x14ac:dyDescent="0.25">
      <c r="A37" s="4" t="s">
        <v>48</v>
      </c>
      <c r="B37" s="5">
        <v>46120</v>
      </c>
      <c r="C37" s="4" t="s">
        <v>42</v>
      </c>
      <c r="D37" s="5">
        <v>46183</v>
      </c>
      <c r="E37" s="4" t="s">
        <v>9</v>
      </c>
      <c r="F37" s="4"/>
    </row>
    <row r="38" spans="1:6" ht="15.75" customHeight="1" x14ac:dyDescent="0.25">
      <c r="A38" s="4" t="s">
        <v>49</v>
      </c>
      <c r="B38" s="5">
        <v>46120</v>
      </c>
      <c r="C38" s="4" t="s">
        <v>42</v>
      </c>
      <c r="D38" s="5">
        <v>46183</v>
      </c>
      <c r="E38" s="4" t="s">
        <v>9</v>
      </c>
      <c r="F38" s="4"/>
    </row>
    <row r="39" spans="1:6" ht="15.75" customHeight="1" x14ac:dyDescent="0.25">
      <c r="A39" s="4" t="s">
        <v>50</v>
      </c>
      <c r="B39" s="5">
        <v>46120</v>
      </c>
      <c r="C39" s="4" t="s">
        <v>42</v>
      </c>
      <c r="D39" s="5">
        <v>46183</v>
      </c>
      <c r="E39" s="4" t="s">
        <v>9</v>
      </c>
      <c r="F39" s="4"/>
    </row>
    <row r="40" spans="1:6" ht="15.75" customHeight="1" x14ac:dyDescent="0.25">
      <c r="A40" s="4" t="s">
        <v>51</v>
      </c>
      <c r="B40" s="5">
        <v>46120</v>
      </c>
      <c r="C40" s="4" t="s">
        <v>42</v>
      </c>
      <c r="D40" s="5">
        <v>46183</v>
      </c>
      <c r="E40" s="4" t="s">
        <v>52</v>
      </c>
      <c r="F40" s="4" t="s">
        <v>53</v>
      </c>
    </row>
    <row r="41" spans="1:6" ht="15.75" customHeight="1" x14ac:dyDescent="0.25">
      <c r="A41" s="4" t="s">
        <v>54</v>
      </c>
      <c r="B41" s="5">
        <v>46120</v>
      </c>
      <c r="C41" s="4" t="s">
        <v>42</v>
      </c>
      <c r="D41" s="5">
        <v>46183</v>
      </c>
      <c r="E41" s="4" t="s">
        <v>52</v>
      </c>
      <c r="F41" s="4" t="s">
        <v>53</v>
      </c>
    </row>
    <row r="42" spans="1:6" ht="15.75" customHeight="1" x14ac:dyDescent="0.25">
      <c r="A42" s="4" t="s">
        <v>55</v>
      </c>
      <c r="B42" s="5">
        <v>46120</v>
      </c>
      <c r="C42" s="4" t="s">
        <v>42</v>
      </c>
      <c r="D42" s="5">
        <v>46183</v>
      </c>
      <c r="E42" s="4" t="s">
        <v>52</v>
      </c>
      <c r="F42" s="4" t="s">
        <v>53</v>
      </c>
    </row>
    <row r="43" spans="1:6" ht="15.75" customHeight="1" x14ac:dyDescent="0.25">
      <c r="A43" s="9" t="s">
        <v>56</v>
      </c>
      <c r="B43" s="10"/>
      <c r="C43" s="10"/>
      <c r="D43" s="10"/>
      <c r="E43" s="10"/>
      <c r="F43" s="11"/>
    </row>
    <row r="44" spans="1:6" ht="15.75" customHeight="1" x14ac:dyDescent="0.25">
      <c r="A44" s="4" t="s">
        <v>57</v>
      </c>
      <c r="B44" s="5">
        <v>46120</v>
      </c>
      <c r="C44" s="4" t="s">
        <v>42</v>
      </c>
      <c r="D44" s="5">
        <v>46183</v>
      </c>
      <c r="E44" s="4" t="s">
        <v>9</v>
      </c>
      <c r="F44" s="4"/>
    </row>
    <row r="45" spans="1:6" ht="15.75" customHeight="1" x14ac:dyDescent="0.25">
      <c r="A45" s="4" t="s">
        <v>58</v>
      </c>
      <c r="B45" s="5">
        <v>46120</v>
      </c>
      <c r="C45" s="4" t="s">
        <v>42</v>
      </c>
      <c r="D45" s="5">
        <v>46183</v>
      </c>
      <c r="E45" s="4" t="s">
        <v>9</v>
      </c>
      <c r="F45" s="4"/>
    </row>
    <row r="46" spans="1:6" ht="15.75" customHeight="1" x14ac:dyDescent="0.25">
      <c r="A46" s="4" t="s">
        <v>59</v>
      </c>
      <c r="B46" s="5">
        <v>46120</v>
      </c>
      <c r="C46" s="4" t="s">
        <v>42</v>
      </c>
      <c r="D46" s="5">
        <v>46183</v>
      </c>
      <c r="E46" s="4" t="s">
        <v>9</v>
      </c>
      <c r="F46" s="4"/>
    </row>
    <row r="47" spans="1:6" ht="15.75" customHeight="1" x14ac:dyDescent="0.25">
      <c r="A47" s="9" t="s">
        <v>60</v>
      </c>
      <c r="B47" s="10"/>
      <c r="C47" s="10"/>
      <c r="D47" s="10"/>
      <c r="E47" s="10"/>
      <c r="F47" s="11"/>
    </row>
    <row r="48" spans="1:6" ht="15.75" customHeight="1" x14ac:dyDescent="0.25">
      <c r="A48" s="4" t="s">
        <v>61</v>
      </c>
      <c r="B48" s="5">
        <v>46113</v>
      </c>
      <c r="C48" s="4" t="s">
        <v>8</v>
      </c>
      <c r="D48" s="5">
        <v>46179</v>
      </c>
      <c r="E48" s="4" t="s">
        <v>9</v>
      </c>
      <c r="F48" s="4"/>
    </row>
    <row r="49" spans="1:6" ht="15.75" customHeight="1" x14ac:dyDescent="0.25">
      <c r="A49" s="4" t="s">
        <v>62</v>
      </c>
      <c r="B49" s="5">
        <v>46113</v>
      </c>
      <c r="C49" s="4" t="s">
        <v>8</v>
      </c>
      <c r="D49" s="5">
        <v>46179</v>
      </c>
      <c r="E49" s="4" t="s">
        <v>12</v>
      </c>
      <c r="F49" s="4" t="s">
        <v>63</v>
      </c>
    </row>
    <row r="50" spans="1:6" ht="15.75" customHeight="1" x14ac:dyDescent="0.25">
      <c r="A50" s="4" t="s">
        <v>64</v>
      </c>
      <c r="B50" s="5">
        <v>46113</v>
      </c>
      <c r="C50" s="4" t="s">
        <v>8</v>
      </c>
      <c r="D50" s="5">
        <v>46179</v>
      </c>
      <c r="E50" s="4" t="s">
        <v>9</v>
      </c>
      <c r="F50" s="4"/>
    </row>
    <row r="51" spans="1:6" ht="15.75" customHeight="1" x14ac:dyDescent="0.25">
      <c r="A51" s="4" t="s">
        <v>65</v>
      </c>
      <c r="B51" s="5">
        <v>46113</v>
      </c>
      <c r="C51" s="4" t="s">
        <v>8</v>
      </c>
      <c r="D51" s="5">
        <v>46179</v>
      </c>
      <c r="E51" s="4" t="s">
        <v>9</v>
      </c>
      <c r="F51" s="4"/>
    </row>
    <row r="52" spans="1:6" ht="15.75" customHeight="1" x14ac:dyDescent="0.25">
      <c r="A52" s="4" t="s">
        <v>66</v>
      </c>
      <c r="B52" s="5">
        <v>46113</v>
      </c>
      <c r="C52" s="4" t="s">
        <v>8</v>
      </c>
      <c r="D52" s="5">
        <v>46179</v>
      </c>
      <c r="E52" s="4" t="s">
        <v>9</v>
      </c>
      <c r="F52" s="4"/>
    </row>
    <row r="53" spans="1:6" ht="15.75" customHeight="1" x14ac:dyDescent="0.25">
      <c r="A53" s="4" t="s">
        <v>67</v>
      </c>
      <c r="B53" s="5">
        <v>46113</v>
      </c>
      <c r="C53" s="4" t="s">
        <v>8</v>
      </c>
      <c r="D53" s="5">
        <v>46179</v>
      </c>
      <c r="E53" s="4" t="s">
        <v>9</v>
      </c>
      <c r="F53" s="4"/>
    </row>
    <row r="54" spans="1:6" ht="15.75" customHeight="1" x14ac:dyDescent="0.25">
      <c r="A54" s="4" t="s">
        <v>68</v>
      </c>
      <c r="B54" s="5">
        <v>46113</v>
      </c>
      <c r="C54" s="4" t="s">
        <v>8</v>
      </c>
      <c r="D54" s="5">
        <v>46179</v>
      </c>
      <c r="E54" s="4" t="s">
        <v>9</v>
      </c>
      <c r="F54" s="4"/>
    </row>
    <row r="55" spans="1:6" ht="15.75" customHeight="1" x14ac:dyDescent="0.25">
      <c r="A55" s="4" t="s">
        <v>69</v>
      </c>
      <c r="B55" s="5">
        <v>46113</v>
      </c>
      <c r="C55" s="4" t="s">
        <v>8</v>
      </c>
      <c r="D55" s="5">
        <v>46179</v>
      </c>
      <c r="E55" s="4" t="s">
        <v>9</v>
      </c>
      <c r="F55" s="4"/>
    </row>
    <row r="56" spans="1:6" ht="15.75" customHeight="1" x14ac:dyDescent="0.25">
      <c r="A56" s="4" t="s">
        <v>70</v>
      </c>
      <c r="B56" s="5">
        <v>46113</v>
      </c>
      <c r="C56" s="4" t="s">
        <v>8</v>
      </c>
      <c r="D56" s="5">
        <v>46179</v>
      </c>
      <c r="E56" s="4" t="s">
        <v>9</v>
      </c>
      <c r="F56" s="4"/>
    </row>
    <row r="57" spans="1:6" ht="15.75" customHeight="1" x14ac:dyDescent="0.25">
      <c r="A57" s="9" t="s">
        <v>71</v>
      </c>
      <c r="B57" s="10"/>
      <c r="C57" s="10"/>
      <c r="D57" s="10"/>
      <c r="E57" s="10"/>
      <c r="F57" s="11"/>
    </row>
    <row r="58" spans="1:6" ht="15.75" customHeight="1" x14ac:dyDescent="0.25">
      <c r="A58" s="4" t="s">
        <v>72</v>
      </c>
      <c r="B58" s="5">
        <v>46113</v>
      </c>
      <c r="C58" s="4" t="s">
        <v>8</v>
      </c>
      <c r="D58" s="5">
        <v>46183</v>
      </c>
      <c r="E58" s="4" t="s">
        <v>9</v>
      </c>
      <c r="F58" s="4"/>
    </row>
    <row r="59" spans="1:6" ht="15.75" customHeight="1" x14ac:dyDescent="0.25">
      <c r="A59" s="4" t="s">
        <v>73</v>
      </c>
      <c r="B59" s="5">
        <v>46113</v>
      </c>
      <c r="C59" s="4" t="s">
        <v>8</v>
      </c>
      <c r="D59" s="5">
        <v>46183</v>
      </c>
      <c r="E59" s="4" t="s">
        <v>9</v>
      </c>
      <c r="F59" s="4"/>
    </row>
    <row r="60" spans="1:6" ht="15.75" customHeight="1" x14ac:dyDescent="0.25">
      <c r="A60" s="4" t="s">
        <v>74</v>
      </c>
      <c r="B60" s="5">
        <v>46113</v>
      </c>
      <c r="C60" s="4" t="s">
        <v>8</v>
      </c>
      <c r="D60" s="5">
        <v>46183</v>
      </c>
      <c r="E60" s="4" t="s">
        <v>9</v>
      </c>
      <c r="F60" s="4"/>
    </row>
    <row r="61" spans="1:6" ht="15.75" customHeight="1" x14ac:dyDescent="0.25">
      <c r="A61" s="4" t="s">
        <v>75</v>
      </c>
      <c r="B61" s="5">
        <v>46113</v>
      </c>
      <c r="C61" s="4" t="s">
        <v>8</v>
      </c>
      <c r="D61" s="5">
        <v>46183</v>
      </c>
      <c r="E61" s="4" t="s">
        <v>9</v>
      </c>
      <c r="F61" s="4"/>
    </row>
    <row r="62" spans="1:6" ht="15.75" customHeight="1" x14ac:dyDescent="0.25">
      <c r="A62" s="4" t="s">
        <v>76</v>
      </c>
      <c r="B62" s="5">
        <v>46113</v>
      </c>
      <c r="C62" s="4" t="s">
        <v>8</v>
      </c>
      <c r="D62" s="5">
        <v>46183</v>
      </c>
      <c r="E62" s="4" t="s">
        <v>9</v>
      </c>
      <c r="F62" s="4"/>
    </row>
    <row r="63" spans="1:6" ht="15.75" customHeight="1" x14ac:dyDescent="0.25">
      <c r="A63" s="9" t="s">
        <v>77</v>
      </c>
      <c r="B63" s="10"/>
      <c r="C63" s="10"/>
      <c r="D63" s="10"/>
      <c r="E63" s="10"/>
      <c r="F63" s="11"/>
    </row>
    <row r="64" spans="1:6" ht="15.75" customHeight="1" x14ac:dyDescent="0.25">
      <c r="A64" s="4" t="s">
        <v>78</v>
      </c>
      <c r="B64" s="5">
        <v>46113</v>
      </c>
      <c r="C64" s="4" t="s">
        <v>8</v>
      </c>
      <c r="D64" s="5">
        <v>46183</v>
      </c>
      <c r="E64" s="4" t="s">
        <v>9</v>
      </c>
      <c r="F64" s="4"/>
    </row>
    <row r="65" spans="1:6" ht="15.75" customHeight="1" x14ac:dyDescent="0.25">
      <c r="A65" s="4" t="s">
        <v>79</v>
      </c>
      <c r="B65" s="5">
        <v>46113</v>
      </c>
      <c r="C65" s="4" t="s">
        <v>8</v>
      </c>
      <c r="D65" s="5">
        <v>46183</v>
      </c>
      <c r="E65" s="4" t="s">
        <v>9</v>
      </c>
      <c r="F65" s="4"/>
    </row>
    <row r="66" spans="1:6" ht="15.75" customHeight="1" x14ac:dyDescent="0.25">
      <c r="A66" s="4" t="s">
        <v>80</v>
      </c>
      <c r="B66" s="5">
        <v>46113</v>
      </c>
      <c r="C66" s="4" t="s">
        <v>8</v>
      </c>
      <c r="D66" s="5">
        <v>46183</v>
      </c>
      <c r="E66" s="4" t="s">
        <v>9</v>
      </c>
      <c r="F66" s="4"/>
    </row>
    <row r="67" spans="1:6" ht="15.75" customHeight="1" x14ac:dyDescent="0.25">
      <c r="A67" s="4" t="s">
        <v>81</v>
      </c>
      <c r="B67" s="5">
        <v>46113</v>
      </c>
      <c r="C67" s="4" t="s">
        <v>8</v>
      </c>
      <c r="D67" s="5">
        <v>46183</v>
      </c>
      <c r="E67" s="4" t="s">
        <v>9</v>
      </c>
      <c r="F67" s="4"/>
    </row>
    <row r="68" spans="1:6" ht="15.75" customHeight="1" x14ac:dyDescent="0.25">
      <c r="A68" s="4" t="s">
        <v>82</v>
      </c>
      <c r="B68" s="5">
        <v>46113</v>
      </c>
      <c r="C68" s="4" t="s">
        <v>8</v>
      </c>
      <c r="D68" s="5">
        <v>46183</v>
      </c>
      <c r="E68" s="4" t="s">
        <v>9</v>
      </c>
      <c r="F68" s="4"/>
    </row>
    <row r="69" spans="1:6" ht="15.75" customHeight="1" x14ac:dyDescent="0.25">
      <c r="A69" s="4" t="s">
        <v>83</v>
      </c>
      <c r="B69" s="5">
        <v>46113</v>
      </c>
      <c r="C69" s="4" t="s">
        <v>8</v>
      </c>
      <c r="D69" s="5">
        <v>46183</v>
      </c>
      <c r="E69" s="4" t="s">
        <v>9</v>
      </c>
      <c r="F69" s="4"/>
    </row>
    <row r="70" spans="1:6" ht="15.75" customHeight="1" x14ac:dyDescent="0.25"/>
    <row r="71" spans="1:6" ht="15.75" customHeight="1" x14ac:dyDescent="0.25"/>
    <row r="72" spans="1:6" ht="15.75" customHeight="1" x14ac:dyDescent="0.25"/>
    <row r="73" spans="1:6" ht="15.75" customHeight="1" x14ac:dyDescent="0.25"/>
    <row r="74" spans="1:6" ht="15.75" customHeight="1" x14ac:dyDescent="0.25"/>
    <row r="75" spans="1:6" ht="15.75" customHeight="1" x14ac:dyDescent="0.25"/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</sheetData>
  <mergeCells count="8">
    <mergeCell ref="A47:F47"/>
    <mergeCell ref="A57:F57"/>
    <mergeCell ref="A63:F63"/>
    <mergeCell ref="A2:F2"/>
    <mergeCell ref="A9:F9"/>
    <mergeCell ref="A16:F16"/>
    <mergeCell ref="A25:F25"/>
    <mergeCell ref="A43:F43"/>
  </mergeCells>
  <dataValidations count="1">
    <dataValidation type="list" allowBlank="1" showErrorMessage="1" sqref="E3:E8 E10:E15 E17:E24 E26:E29 E31:E42 E44:E46 E48:E56 E58:E62 E64:E69" xr:uid="{00000000-0002-0000-0000-000000000000}">
      <formula1>"PASSED,FAILED,NOT RUN"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1" width="20.33203125" customWidth="1"/>
    <col min="2" max="2" width="5.6640625" customWidth="1"/>
    <col min="3" max="6" width="12.6640625" customWidth="1"/>
  </cols>
  <sheetData>
    <row r="1" spans="1:2" ht="15.75" customHeight="1" x14ac:dyDescent="0.25">
      <c r="A1" s="4" t="s">
        <v>84</v>
      </c>
      <c r="B1" s="4">
        <f t="array" ref="B1">SUM(IF(ISNUMBER(SEARCH(":", 'Test Plan'!A1:A813)), 1, 0))</f>
        <v>59</v>
      </c>
    </row>
    <row r="2" spans="1:2" ht="15.75" customHeight="1" x14ac:dyDescent="0.25">
      <c r="A2" s="4" t="s">
        <v>85</v>
      </c>
      <c r="B2" s="4">
        <f t="array" ref="B2">SUM(IF(ISNUMBER(SEARCH("PASSED", 'Test Plan'!E1:E813)), 1, 0))</f>
        <v>50</v>
      </c>
    </row>
    <row r="3" spans="1:2" ht="15.75" customHeight="1" x14ac:dyDescent="0.25">
      <c r="A3" s="4" t="s">
        <v>86</v>
      </c>
      <c r="B3" s="4">
        <f t="array" ref="B3">SUM(IF(ISNUMBER(SEARCH("Failed", 'Test Plan'!E1:E813)), 1, 0))</f>
        <v>6</v>
      </c>
    </row>
    <row r="4" spans="1:2" ht="15.75" customHeight="1" x14ac:dyDescent="0.25">
      <c r="A4" s="4" t="s">
        <v>87</v>
      </c>
      <c r="B4" s="4">
        <f>SUM(B2:B3)</f>
        <v>56</v>
      </c>
    </row>
    <row r="5" spans="1:2" ht="15.75" customHeight="1" x14ac:dyDescent="0.25">
      <c r="A5" s="4" t="s">
        <v>88</v>
      </c>
      <c r="B5" s="8">
        <f>(B4/B1)</f>
        <v>0.94915254237288138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Oreiro</cp:lastModifiedBy>
  <dcterms:modified xsi:type="dcterms:W3CDTF">2026-06-10T15:21:25Z</dcterms:modified>
</cp:coreProperties>
</file>